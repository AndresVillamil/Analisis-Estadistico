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atolicaeduco-my.sharepoint.com/personal/eavillamil05_ucatolica_edu_co/Documents/FormacionVirtual/"/>
    </mc:Choice>
  </mc:AlternateContent>
  <xr:revisionPtr revIDLastSave="3" documentId="8_{0ECB4AC1-C60D-4D59-B26B-7AD574BFA5A2}" xr6:coauthVersionLast="47" xr6:coauthVersionMax="47" xr10:uidLastSave="{71236BFA-5C2D-4CB4-81F7-4E70BF1E4CAB}"/>
  <bookViews>
    <workbookView xWindow="-96" yWindow="0" windowWidth="11712" windowHeight="12336" activeTab="1" xr2:uid="{BD69D6EE-A98E-4439-B4A2-DEF847278516}"/>
  </bookViews>
  <sheets>
    <sheet name="Hoja3" sheetId="3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9" i="1" l="1"/>
  <c r="R8" i="1"/>
  <c r="R7" i="1"/>
  <c r="R6" i="1"/>
  <c r="R5" i="1"/>
  <c r="R4" i="1"/>
  <c r="Q9" i="1"/>
  <c r="Q8" i="1"/>
  <c r="Q7" i="1"/>
  <c r="Q6" i="1"/>
  <c r="Q5" i="1"/>
  <c r="Q4" i="1"/>
  <c r="P4" i="1"/>
  <c r="P9" i="1"/>
  <c r="P8" i="1"/>
  <c r="P7" i="1"/>
  <c r="P6" i="1"/>
  <c r="P5" i="1"/>
  <c r="O7" i="1"/>
  <c r="O8" i="1" s="1"/>
  <c r="O9" i="1" s="1"/>
  <c r="O6" i="1"/>
  <c r="O5" i="1"/>
  <c r="O4" i="1"/>
  <c r="L5" i="1" l="1"/>
  <c r="M5" i="1" s="1"/>
  <c r="L6" i="1" s="1"/>
  <c r="M6" i="1" s="1"/>
  <c r="L7" i="1" s="1"/>
  <c r="M7" i="1" s="1"/>
  <c r="L8" i="1" s="1"/>
  <c r="M8" i="1" s="1"/>
  <c r="L9" i="1" s="1"/>
  <c r="M9" i="1" s="1"/>
  <c r="M4" i="1"/>
  <c r="I6" i="1"/>
  <c r="I7" i="1" s="1"/>
  <c r="I5" i="1"/>
  <c r="I4" i="1"/>
  <c r="I8" i="1" s="1"/>
  <c r="J8" i="1" s="1"/>
  <c r="I9" i="1" l="1"/>
  <c r="J9" i="1" s="1"/>
</calcChain>
</file>

<file path=xl/sharedStrings.xml><?xml version="1.0" encoding="utf-8"?>
<sst xmlns="http://schemas.openxmlformats.org/spreadsheetml/2006/main" count="23" uniqueCount="23">
  <si>
    <t>DISTRIBUCION DE FRECUENCIAS EN EXCEL + TABLAS, GRAFICOS E HISTOGRAMA</t>
  </si>
  <si>
    <t>DATOS</t>
  </si>
  <si>
    <t>CALCULOS PREVIOS</t>
  </si>
  <si>
    <t>LIMITE INFERIOR</t>
  </si>
  <si>
    <t>LIMITE SUPERIOR</t>
  </si>
  <si>
    <t>RANGO</t>
  </si>
  <si>
    <t>NÚMERO DE CLASES</t>
  </si>
  <si>
    <t>TAMAÑO DE CLASE</t>
  </si>
  <si>
    <t>NÚMERO DE DATOS</t>
  </si>
  <si>
    <t>NUMERO</t>
  </si>
  <si>
    <t>INTERVALO DE CLASES</t>
  </si>
  <si>
    <t>DE CLASE</t>
  </si>
  <si>
    <t>LI</t>
  </si>
  <si>
    <t>LS</t>
  </si>
  <si>
    <t>F</t>
  </si>
  <si>
    <t>FA</t>
  </si>
  <si>
    <t>FR</t>
  </si>
  <si>
    <t>FR%</t>
  </si>
  <si>
    <t>MC (X)</t>
  </si>
  <si>
    <t>https://www.youtube.com/watch?v=Mg8mlUQpkm0&amp;t=7s</t>
  </si>
  <si>
    <t>y mayor...</t>
  </si>
  <si>
    <t>Frecuencia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</si>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</sst>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5" xfId="0" applyFont="1" applyFill="1" applyBorder="1" applyAlignment="1">
      <alignment horizontal="center"/>
    </xf>
    <xf numFmtId="10" fontId="0" fillId="0" borderId="1" xfId="1" applyNumberFormat="1" applyFont="1" applyBorder="1"/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0"/>
          <c:cat>
            <c:strRef>
              <c:f>Hoja3!$A$2:$A$8</c:f>
              <c:strCache>
                <c:ptCount val="7"/>
                <c:pt idx="0">
                  <c:v>42</c:v>
                </c:pt>
                <c:pt idx="1">
                  <c:v>49</c:v>
                </c:pt>
                <c:pt idx="2">
                  <c:v>56</c:v>
                </c:pt>
                <c:pt idx="3">
                  <c:v>63</c:v>
                </c:pt>
                <c:pt idx="4">
                  <c:v>70</c:v>
                </c:pt>
                <c:pt idx="5">
                  <c:v>77</c:v>
                </c:pt>
                <c:pt idx="6">
                  <c:v>y mayor...</c:v>
                </c:pt>
              </c:strCache>
            </c:strRef>
          </c:cat>
          <c:val>
            <c:numRef>
              <c:f>Hoja3!$B$2:$B$8</c:f>
              <c:numCache>
                <c:formatCode>General</c:formatCode>
                <c:ptCount val="7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F-4F5A-96B3-C62BAA112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5872112"/>
        <c:axId val="695872592"/>
      </c:barChart>
      <c:catAx>
        <c:axId val="69587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CO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5872592"/>
        <c:crosses val="autoZero"/>
        <c:auto val="1"/>
        <c:lblAlgn val="ctr"/>
        <c:lblOffset val="100"/>
        <c:noMultiLvlLbl val="0"/>
      </c:catAx>
      <c:valAx>
        <c:axId val="695872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587211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spPr>
            <a:ln>
              <a:solidFill>
                <a:sysClr val="windowText" lastClr="000000"/>
              </a:solidFill>
            </a:ln>
          </c:spPr>
          <c:invertIfNegative val="0"/>
          <c:cat>
            <c:strRef>
              <c:f>Hoja3!$A$2:$A$8</c:f>
              <c:strCache>
                <c:ptCount val="7"/>
                <c:pt idx="0">
                  <c:v>42</c:v>
                </c:pt>
                <c:pt idx="1">
                  <c:v>49</c:v>
                </c:pt>
                <c:pt idx="2">
                  <c:v>56</c:v>
                </c:pt>
                <c:pt idx="3">
                  <c:v>63</c:v>
                </c:pt>
                <c:pt idx="4">
                  <c:v>70</c:v>
                </c:pt>
                <c:pt idx="5">
                  <c:v>77</c:v>
                </c:pt>
                <c:pt idx="6">
                  <c:v>y mayor...</c:v>
                </c:pt>
              </c:strCache>
            </c:strRef>
          </c:cat>
          <c:val>
            <c:numRef>
              <c:f>Hoja3!$B$2:$B$8</c:f>
              <c:numCache>
                <c:formatCode>General</c:formatCode>
                <c:ptCount val="7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B-45D7-8B4B-04D6BCEA3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95872112"/>
        <c:axId val="695872592"/>
      </c:barChart>
      <c:catAx>
        <c:axId val="69587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695872592"/>
        <c:crosses val="autoZero"/>
        <c:auto val="1"/>
        <c:lblAlgn val="ctr"/>
        <c:lblOffset val="100"/>
        <c:noMultiLvlLbl val="0"/>
      </c:catAx>
      <c:valAx>
        <c:axId val="695872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Frecuencia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95872112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Hoja1!$N$4:$N$9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</c:numCache>
            </c:numRef>
          </c:cat>
          <c:val>
            <c:numRef>
              <c:f>Hoja1!$Q$4:$Q$9</c:f>
              <c:numCache>
                <c:formatCode>0.00%</c:formatCode>
                <c:ptCount val="6"/>
                <c:pt idx="0">
                  <c:v>0.16666666666666666</c:v>
                </c:pt>
                <c:pt idx="1">
                  <c:v>0.3</c:v>
                </c:pt>
                <c:pt idx="2">
                  <c:v>0.23333333333333334</c:v>
                </c:pt>
                <c:pt idx="3">
                  <c:v>0.16666666666666666</c:v>
                </c:pt>
                <c:pt idx="4">
                  <c:v>0.1</c:v>
                </c:pt>
                <c:pt idx="5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A-450D-B77B-431C1A121E8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Poligono</a:t>
            </a:r>
            <a:r>
              <a:rPr lang="es-CO" baseline="0"/>
              <a:t> de Frecuencias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Hoja1!$R$4:$R$9</c:f>
              <c:numCache>
                <c:formatCode>General</c:formatCode>
                <c:ptCount val="6"/>
                <c:pt idx="0">
                  <c:v>38.5</c:v>
                </c:pt>
                <c:pt idx="1">
                  <c:v>45.5</c:v>
                </c:pt>
                <c:pt idx="2">
                  <c:v>52.5</c:v>
                </c:pt>
                <c:pt idx="3">
                  <c:v>59.5</c:v>
                </c:pt>
                <c:pt idx="4">
                  <c:v>66.5</c:v>
                </c:pt>
                <c:pt idx="5">
                  <c:v>73.5</c:v>
                </c:pt>
              </c:numCache>
            </c:numRef>
          </c:cat>
          <c:val>
            <c:numRef>
              <c:f>Hoja1!$N$4:$N$9</c:f>
              <c:numCache>
                <c:formatCode>General</c:formatCode>
                <c:ptCount val="6"/>
                <c:pt idx="0">
                  <c:v>5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E-4E5A-B88D-B8CAE7CB15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293520"/>
        <c:axId val="1083296400"/>
      </c:lineChart>
      <c:catAx>
        <c:axId val="10832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3296400"/>
        <c:crosses val="autoZero"/>
        <c:auto val="1"/>
        <c:lblAlgn val="ctr"/>
        <c:lblOffset val="100"/>
        <c:noMultiLvlLbl val="0"/>
      </c:catAx>
      <c:valAx>
        <c:axId val="10832964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329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Ojiva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Hoja1!$R$4:$R$9</c:f>
              <c:numCache>
                <c:formatCode>General</c:formatCode>
                <c:ptCount val="6"/>
                <c:pt idx="0">
                  <c:v>38.5</c:v>
                </c:pt>
                <c:pt idx="1">
                  <c:v>45.5</c:v>
                </c:pt>
                <c:pt idx="2">
                  <c:v>52.5</c:v>
                </c:pt>
                <c:pt idx="3">
                  <c:v>59.5</c:v>
                </c:pt>
                <c:pt idx="4">
                  <c:v>66.5</c:v>
                </c:pt>
                <c:pt idx="5">
                  <c:v>73.5</c:v>
                </c:pt>
              </c:numCache>
            </c:numRef>
          </c:cat>
          <c:val>
            <c:numRef>
              <c:f>Hoja1!$O$4:$O$9</c:f>
              <c:numCache>
                <c:formatCode>General</c:formatCode>
                <c:ptCount val="6"/>
                <c:pt idx="0">
                  <c:v>5</c:v>
                </c:pt>
                <c:pt idx="1">
                  <c:v>14</c:v>
                </c:pt>
                <c:pt idx="2">
                  <c:v>21</c:v>
                </c:pt>
                <c:pt idx="3">
                  <c:v>26</c:v>
                </c:pt>
                <c:pt idx="4">
                  <c:v>29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A-48B7-9BAD-7F7EBAC735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9427408"/>
        <c:axId val="1059429808"/>
      </c:lineChart>
      <c:catAx>
        <c:axId val="105942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9429808"/>
        <c:crosses val="autoZero"/>
        <c:auto val="1"/>
        <c:lblAlgn val="ctr"/>
        <c:lblOffset val="100"/>
        <c:noMultiLvlLbl val="0"/>
      </c:catAx>
      <c:valAx>
        <c:axId val="1059429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942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5D50A9-276F-B973-5425-CA78A04E2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193887</xdr:colOff>
      <xdr:row>10</xdr:row>
      <xdr:rowOff>25400</xdr:rowOff>
    </xdr:from>
    <xdr:to>
      <xdr:col>10</xdr:col>
      <xdr:colOff>394547</xdr:colOff>
      <xdr:row>22</xdr:row>
      <xdr:rowOff>74506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0E4D7D-90F1-47DE-BE8B-CADE695A6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157480</xdr:colOff>
      <xdr:row>0</xdr:row>
      <xdr:rowOff>116840</xdr:rowOff>
    </xdr:from>
    <xdr:to>
      <xdr:col>21</xdr:col>
      <xdr:colOff>423334</xdr:colOff>
      <xdr:row>9</xdr:row>
      <xdr:rowOff>50800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08C0A8-7615-11B0-E3D2-D643249EB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549339</xdr:colOff>
      <xdr:row>10</xdr:row>
      <xdr:rowOff>68837</xdr:rowOff>
    </xdr:from>
    <xdr:to>
      <xdr:col>18</xdr:col>
      <xdr:colOff>180745</xdr:colOff>
      <xdr:row>20</xdr:row>
      <xdr:rowOff>139479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CCDE3E-9505-A254-8FCA-05D0079C4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541866</xdr:colOff>
      <xdr:row>10</xdr:row>
      <xdr:rowOff>76200</xdr:rowOff>
    </xdr:from>
    <xdr:to>
      <xdr:col>23</xdr:col>
      <xdr:colOff>8833</xdr:colOff>
      <xdr:row>21</xdr:row>
      <xdr:rowOff>93133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B603AFD-C2CC-4D1B-6536-73B42514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D054-E58E-4E8C-9BD6-CF35837F65BE}">
  <dimension ref="A1:B8"/>
  <sheetViews>
    <sheetView workbookViewId="0">
      <selection activeCell="B2" sqref="B2:B7"/>
    </sheetView>
  </sheetViews>
  <sheetFormatPr baseColWidth="10" defaultRowHeight="14.4" x14ac:dyDescent="0.3"/>
  <sheetData>
    <row r="1" spans="1:2" x14ac:dyDescent="0.3">
      <c r="A1" s="7" t="s">
        <v>22</v>
      </c>
      <c r="B1" s="7" t="s">
        <v>21</v>
      </c>
    </row>
    <row r="2" spans="1:2" x14ac:dyDescent="0.3">
      <c r="A2" s="4">
        <v>42</v>
      </c>
      <c r="B2" s="5">
        <v>5</v>
      </c>
    </row>
    <row r="3" spans="1:2" x14ac:dyDescent="0.3">
      <c r="A3" s="4">
        <v>49</v>
      </c>
      <c r="B3" s="5">
        <v>9</v>
      </c>
    </row>
    <row r="4" spans="1:2" x14ac:dyDescent="0.3">
      <c r="A4" s="4">
        <v>56</v>
      </c>
      <c r="B4" s="5">
        <v>7</v>
      </c>
    </row>
    <row r="5" spans="1:2" x14ac:dyDescent="0.3">
      <c r="A5" s="4">
        <v>63</v>
      </c>
      <c r="B5" s="5">
        <v>5</v>
      </c>
    </row>
    <row r="6" spans="1:2" x14ac:dyDescent="0.3">
      <c r="A6" s="4">
        <v>70</v>
      </c>
      <c r="B6" s="5">
        <v>3</v>
      </c>
    </row>
    <row r="7" spans="1:2" x14ac:dyDescent="0.3">
      <c r="A7" s="4">
        <v>77</v>
      </c>
      <c r="B7" s="5">
        <v>1</v>
      </c>
    </row>
    <row r="8" spans="1:2" ht="15" thickBot="1" x14ac:dyDescent="0.35">
      <c r="A8" s="6" t="s">
        <v>20</v>
      </c>
      <c r="B8" s="6">
        <v>0</v>
      </c>
    </row>
  </sheetData>
  <sortState xmlns:xlrd2="http://schemas.microsoft.com/office/spreadsheetml/2017/richdata2" ref="A2:A7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E533-C370-479A-98E3-F426582B6344}">
  <dimension ref="A1:R31"/>
  <sheetViews>
    <sheetView tabSelected="1" zoomScale="90" zoomScaleNormal="90" workbookViewId="0">
      <selection activeCell="Y9" sqref="Y9"/>
    </sheetView>
  </sheetViews>
  <sheetFormatPr baseColWidth="10" defaultRowHeight="14.4" x14ac:dyDescent="0.3"/>
  <cols>
    <col min="1" max="5" width="3.44140625" customWidth="1"/>
    <col min="6" max="6" width="4.44140625" customWidth="1"/>
    <col min="7" max="7" width="3.44140625" customWidth="1"/>
    <col min="8" max="8" width="20.109375" customWidth="1"/>
    <col min="9" max="9" width="8.6640625" customWidth="1"/>
    <col min="10" max="10" width="4.88671875" customWidth="1"/>
    <col min="12" max="15" width="4.33203125" customWidth="1"/>
    <col min="16" max="16" width="6.33203125" customWidth="1"/>
    <col min="17" max="17" width="9" customWidth="1"/>
    <col min="18" max="18" width="6.109375" bestFit="1" customWidth="1"/>
  </cols>
  <sheetData>
    <row r="1" spans="1:18" ht="61.2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1"/>
      <c r="K1" s="1" t="s">
        <v>9</v>
      </c>
      <c r="L1" s="1" t="s">
        <v>10</v>
      </c>
      <c r="M1" s="1"/>
      <c r="N1" s="1"/>
      <c r="O1" s="1"/>
      <c r="P1" s="1"/>
      <c r="Q1" s="1"/>
      <c r="R1" s="1"/>
    </row>
    <row r="2" spans="1:18" x14ac:dyDescent="0.3"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x14ac:dyDescent="0.3">
      <c r="A3" s="2" t="s">
        <v>1</v>
      </c>
      <c r="B3" s="2"/>
      <c r="C3" s="2"/>
      <c r="D3" s="2"/>
      <c r="E3" s="2"/>
      <c r="F3" s="2"/>
      <c r="G3" s="3"/>
      <c r="H3" s="2" t="s">
        <v>2</v>
      </c>
      <c r="I3" s="2"/>
      <c r="K3" s="1">
        <v>0</v>
      </c>
      <c r="M3" s="1"/>
      <c r="N3" s="1"/>
      <c r="O3" s="1"/>
      <c r="P3" s="1"/>
      <c r="Q3" s="1"/>
      <c r="R3" s="1"/>
    </row>
    <row r="4" spans="1:18" x14ac:dyDescent="0.3">
      <c r="A4" s="1">
        <v>47</v>
      </c>
      <c r="B4" s="1">
        <v>49</v>
      </c>
      <c r="C4" s="1">
        <v>51</v>
      </c>
      <c r="D4" s="1">
        <v>49</v>
      </c>
      <c r="E4" s="1">
        <v>60</v>
      </c>
      <c r="F4" s="1">
        <v>46</v>
      </c>
      <c r="H4" s="1" t="s">
        <v>8</v>
      </c>
      <c r="I4" s="1">
        <f>+COUNT(A4:F8)</f>
        <v>30</v>
      </c>
      <c r="K4" s="1">
        <v>1</v>
      </c>
      <c r="L4" s="1">
        <v>35</v>
      </c>
      <c r="M4" s="1">
        <f>+L4+7</f>
        <v>42</v>
      </c>
      <c r="N4" s="1">
        <v>5</v>
      </c>
      <c r="O4" s="1">
        <f>+N4</f>
        <v>5</v>
      </c>
      <c r="P4" s="1">
        <f>+N4/$I$4</f>
        <v>0.16666666666666666</v>
      </c>
      <c r="Q4" s="8">
        <f>+N4/$I$4</f>
        <v>0.16666666666666666</v>
      </c>
      <c r="R4">
        <f>+(L4+M4)/2</f>
        <v>38.5</v>
      </c>
    </row>
    <row r="5" spans="1:18" x14ac:dyDescent="0.3">
      <c r="A5" s="1">
        <v>55</v>
      </c>
      <c r="B5" s="1">
        <v>45</v>
      </c>
      <c r="C5" s="1">
        <v>47</v>
      </c>
      <c r="D5" s="1">
        <v>42</v>
      </c>
      <c r="E5" s="1">
        <v>42</v>
      </c>
      <c r="F5" s="1">
        <v>68</v>
      </c>
      <c r="H5" s="1" t="s">
        <v>3</v>
      </c>
      <c r="I5" s="1">
        <f>+MIN(A4:F8)</f>
        <v>35</v>
      </c>
      <c r="K5" s="1">
        <v>2</v>
      </c>
      <c r="L5" s="1">
        <f>+M4</f>
        <v>42</v>
      </c>
      <c r="M5" s="1">
        <f>+L5+7</f>
        <v>49</v>
      </c>
      <c r="N5" s="1">
        <v>9</v>
      </c>
      <c r="O5" s="1">
        <f>+O4+N5</f>
        <v>14</v>
      </c>
      <c r="P5" s="1">
        <f t="shared" ref="P5:P9" si="0">+N5/$I$4</f>
        <v>0.3</v>
      </c>
      <c r="Q5" s="8">
        <f t="shared" ref="Q5:Q9" si="1">+N5/$I$4</f>
        <v>0.3</v>
      </c>
      <c r="R5">
        <f t="shared" ref="R5:R9" si="2">+(L5+M5)/2</f>
        <v>45.5</v>
      </c>
    </row>
    <row r="6" spans="1:18" x14ac:dyDescent="0.3">
      <c r="A6" s="1">
        <v>35</v>
      </c>
      <c r="B6" s="1">
        <v>43</v>
      </c>
      <c r="C6" s="1">
        <v>54</v>
      </c>
      <c r="D6" s="1">
        <v>76</v>
      </c>
      <c r="E6" s="1">
        <v>55</v>
      </c>
      <c r="F6" s="1">
        <v>50</v>
      </c>
      <c r="H6" s="1" t="s">
        <v>4</v>
      </c>
      <c r="I6" s="1">
        <f>+MAX(A4:F8)</f>
        <v>76</v>
      </c>
      <c r="K6" s="1">
        <v>3</v>
      </c>
      <c r="L6" s="1">
        <f t="shared" ref="L6:L9" si="3">+M5</f>
        <v>49</v>
      </c>
      <c r="M6" s="1">
        <f t="shared" ref="M6:M9" si="4">+L6+7</f>
        <v>56</v>
      </c>
      <c r="N6" s="1">
        <v>7</v>
      </c>
      <c r="O6" s="1">
        <f t="shared" ref="O6:O9" si="5">+O5+N6</f>
        <v>21</v>
      </c>
      <c r="P6" s="1">
        <f t="shared" si="0"/>
        <v>0.23333333333333334</v>
      </c>
      <c r="Q6" s="8">
        <f t="shared" si="1"/>
        <v>0.23333333333333334</v>
      </c>
      <c r="R6">
        <f t="shared" si="2"/>
        <v>52.5</v>
      </c>
    </row>
    <row r="7" spans="1:18" x14ac:dyDescent="0.3">
      <c r="A7" s="1">
        <v>56</v>
      </c>
      <c r="B7" s="1">
        <v>37</v>
      </c>
      <c r="C7" s="1">
        <v>38</v>
      </c>
      <c r="D7" s="1">
        <v>69</v>
      </c>
      <c r="E7" s="1">
        <v>62</v>
      </c>
      <c r="F7" s="1">
        <v>60</v>
      </c>
      <c r="H7" s="1" t="s">
        <v>5</v>
      </c>
      <c r="I7" s="1">
        <f>+I6-I5</f>
        <v>41</v>
      </c>
      <c r="K7" s="1">
        <v>4</v>
      </c>
      <c r="L7" s="1">
        <f t="shared" si="3"/>
        <v>56</v>
      </c>
      <c r="M7" s="1">
        <f t="shared" si="4"/>
        <v>63</v>
      </c>
      <c r="N7" s="1">
        <v>5</v>
      </c>
      <c r="O7" s="1">
        <f t="shared" si="5"/>
        <v>26</v>
      </c>
      <c r="P7" s="1">
        <f t="shared" si="0"/>
        <v>0.16666666666666666</v>
      </c>
      <c r="Q7" s="8">
        <f t="shared" si="1"/>
        <v>0.16666666666666666</v>
      </c>
      <c r="R7">
        <f t="shared" si="2"/>
        <v>59.5</v>
      </c>
    </row>
    <row r="8" spans="1:18" x14ac:dyDescent="0.3">
      <c r="A8" s="1">
        <v>62</v>
      </c>
      <c r="B8" s="1">
        <v>66</v>
      </c>
      <c r="C8" s="1">
        <v>49</v>
      </c>
      <c r="D8" s="1">
        <v>46</v>
      </c>
      <c r="E8" s="1">
        <v>62</v>
      </c>
      <c r="F8" s="1">
        <v>52</v>
      </c>
      <c r="H8" s="1" t="s">
        <v>6</v>
      </c>
      <c r="I8" s="1">
        <f>1+3.333*LOG(I4)</f>
        <v>5.9232451419806349</v>
      </c>
      <c r="J8">
        <f>+ROUND(I8,0)</f>
        <v>6</v>
      </c>
      <c r="K8" s="1">
        <v>5</v>
      </c>
      <c r="L8" s="1">
        <f t="shared" si="3"/>
        <v>63</v>
      </c>
      <c r="M8" s="1">
        <f t="shared" si="4"/>
        <v>70</v>
      </c>
      <c r="N8" s="1">
        <v>3</v>
      </c>
      <c r="O8" s="1">
        <f t="shared" si="5"/>
        <v>29</v>
      </c>
      <c r="P8" s="1">
        <f t="shared" si="0"/>
        <v>0.1</v>
      </c>
      <c r="Q8" s="8">
        <f t="shared" si="1"/>
        <v>0.1</v>
      </c>
      <c r="R8">
        <f t="shared" si="2"/>
        <v>66.5</v>
      </c>
    </row>
    <row r="9" spans="1:18" x14ac:dyDescent="0.3">
      <c r="H9" s="1" t="s">
        <v>7</v>
      </c>
      <c r="I9" s="1">
        <f>+I7/I8</f>
        <v>6.9218813365354448</v>
      </c>
      <c r="J9">
        <f>+ROUND(I9,0)</f>
        <v>7</v>
      </c>
      <c r="K9" s="1">
        <v>6</v>
      </c>
      <c r="L9" s="1">
        <f t="shared" si="3"/>
        <v>70</v>
      </c>
      <c r="M9" s="1">
        <f t="shared" si="4"/>
        <v>77</v>
      </c>
      <c r="N9" s="1">
        <v>1</v>
      </c>
      <c r="O9" s="1">
        <f t="shared" si="5"/>
        <v>30</v>
      </c>
      <c r="P9" s="1">
        <f t="shared" si="0"/>
        <v>3.3333333333333333E-2</v>
      </c>
      <c r="Q9" s="8">
        <f t="shared" si="1"/>
        <v>3.3333333333333333E-2</v>
      </c>
      <c r="R9">
        <f t="shared" si="2"/>
        <v>73.5</v>
      </c>
    </row>
    <row r="31" spans="8:8" x14ac:dyDescent="0.3">
      <c r="H31" t="s">
        <v>19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ANDRES VILLAMIL LAVERDE.E -35</dc:creator>
  <cp:lastModifiedBy>EDWIN ANDRES VILLAMIL LAVERDE.E -35</cp:lastModifiedBy>
  <dcterms:created xsi:type="dcterms:W3CDTF">2026-05-22T19:05:48Z</dcterms:created>
  <dcterms:modified xsi:type="dcterms:W3CDTF">2026-05-25T11:19:03Z</dcterms:modified>
</cp:coreProperties>
</file>